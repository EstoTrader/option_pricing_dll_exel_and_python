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Pricer" sheetId="1" r:id="rId1"/>
    <sheet name="PriceGraph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D16" i="2" l="1"/>
  <c r="D17" i="2"/>
  <c r="D18" i="2"/>
  <c r="D19" i="2"/>
  <c r="D20" i="2"/>
  <c r="D21" i="2"/>
  <c r="D22" i="2"/>
  <c r="D23" i="2"/>
  <c r="D24" i="2"/>
  <c r="D15" i="2"/>
  <c r="F17" i="2"/>
  <c r="E18" i="2"/>
  <c r="F19" i="2"/>
  <c r="F24" i="2"/>
  <c r="F22" i="2"/>
  <c r="E24" i="2"/>
  <c r="E22" i="2"/>
  <c r="F18" i="2"/>
  <c r="F20" i="2"/>
  <c r="E15" i="2"/>
  <c r="E21" i="2"/>
  <c r="B13" i="1"/>
  <c r="F16" i="2"/>
  <c r="B12" i="1"/>
  <c r="E19" i="2"/>
  <c r="E23" i="2"/>
  <c r="F21" i="2"/>
  <c r="F23" i="2"/>
  <c r="E17" i="2"/>
  <c r="E20" i="2"/>
  <c r="F15" i="2"/>
  <c r="E16" i="2"/>
</calcChain>
</file>

<file path=xl/sharedStrings.xml><?xml version="1.0" encoding="utf-8"?>
<sst xmlns="http://schemas.openxmlformats.org/spreadsheetml/2006/main" count="21" uniqueCount="20">
  <si>
    <t>Example with Black-Scholes Analitical Pricing Formula</t>
  </si>
  <si>
    <t>&lt;--Underlying price // Precio de la acción (subyacente)</t>
  </si>
  <si>
    <t>&lt;--Option strike // Strike de la opción</t>
  </si>
  <si>
    <t>&lt;--Risk free // Los tipos de interes o el bono</t>
  </si>
  <si>
    <t>&lt;--Volatility // Volatilidad</t>
  </si>
  <si>
    <t>&lt;--Days till expiration // Dias hasta expiración</t>
  </si>
  <si>
    <t>&lt;--Multiplier for mods // Multiplicador normalmente 1 (sirve de ajuste por si los precios reales estan muy desviados)</t>
  </si>
  <si>
    <t>&lt;--CALL PRICE // PRECIO CALL</t>
  </si>
  <si>
    <t>&lt;--PUT PRICE // PRECIO PUT</t>
  </si>
  <si>
    <t>Date</t>
  </si>
  <si>
    <t>Day till exp</t>
  </si>
  <si>
    <t>SPY(close)</t>
  </si>
  <si>
    <t>VIX(close)</t>
  </si>
  <si>
    <t>&lt;--Expiration Date</t>
  </si>
  <si>
    <t>&lt;--Strike</t>
  </si>
  <si>
    <t>Call Price*100</t>
  </si>
  <si>
    <t>Put Price*100</t>
  </si>
  <si>
    <t>Variables</t>
  </si>
  <si>
    <t>Option pricing with Esto.dll (64bits)</t>
  </si>
  <si>
    <t>&lt;--Multiplier for mods // Multiplicador normalmente 1(defalut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</si>
</sst>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0" fontId="2" fillId="0" borderId="0" xfId="0" applyNumberFormat="1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PriceGraph!$E$14</c:f>
              <c:strCache>
                <c:ptCount val="1"/>
                <c:pt idx="0">
                  <c:v>Call Price*100</c:v>
                </c:pt>
              </c:strCache>
            </c:strRef>
          </c:tx>
          <c:marker>
            <c:symbol val="none"/>
          </c:marker>
          <c:cat>
            <c:numRef>
              <c:f>PriceGraph!$A$15:$A$24</c:f>
              <c:numCache>
                <c:formatCode>m/d/yyyy</c:formatCode>
                <c:ptCount val="10"/>
                <c:pt idx="0">
                  <c:v>44774</c:v>
                </c:pt>
                <c:pt idx="1">
                  <c:v>44775</c:v>
                </c:pt>
                <c:pt idx="2">
                  <c:v>44776</c:v>
                </c:pt>
                <c:pt idx="3">
                  <c:v>44777</c:v>
                </c:pt>
                <c:pt idx="4">
                  <c:v>44778</c:v>
                </c:pt>
                <c:pt idx="5">
                  <c:v>44781</c:v>
                </c:pt>
                <c:pt idx="6">
                  <c:v>44782</c:v>
                </c:pt>
                <c:pt idx="7">
                  <c:v>44783</c:v>
                </c:pt>
                <c:pt idx="8">
                  <c:v>44784</c:v>
                </c:pt>
                <c:pt idx="9">
                  <c:v>44785</c:v>
                </c:pt>
              </c:numCache>
            </c:numRef>
          </c:cat>
          <c:val>
            <c:numRef>
              <c:f>PriceGraph!$E$15:$E$24</c:f>
              <c:numCache>
                <c:formatCode>General</c:formatCode>
                <c:ptCount val="10"/>
                <c:pt idx="0">
                  <c:v>667.36107029128675</c:v>
                </c:pt>
                <c:pt idx="1">
                  <c:v>541.7732359572625</c:v>
                </c:pt>
                <c:pt idx="2">
                  <c:v>786.44545544513846</c:v>
                </c:pt>
                <c:pt idx="3">
                  <c:v>726.98476671338312</c:v>
                </c:pt>
                <c:pt idx="4">
                  <c:v>647.82480883202993</c:v>
                </c:pt>
                <c:pt idx="5">
                  <c:v>516.7167386491144</c:v>
                </c:pt>
                <c:pt idx="6">
                  <c:v>391.58767230138096</c:v>
                </c:pt>
                <c:pt idx="7">
                  <c:v>939.94239571576372</c:v>
                </c:pt>
                <c:pt idx="8">
                  <c:v>919.51766489182205</c:v>
                </c:pt>
                <c:pt idx="9">
                  <c:v>1610.009259523116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PriceGraph!$F$14</c:f>
              <c:strCache>
                <c:ptCount val="1"/>
                <c:pt idx="0">
                  <c:v>Put Price*100</c:v>
                </c:pt>
              </c:strCache>
            </c:strRef>
          </c:tx>
          <c:marker>
            <c:symbol val="none"/>
          </c:marker>
          <c:cat>
            <c:numRef>
              <c:f>PriceGraph!$A$15:$A$24</c:f>
              <c:numCache>
                <c:formatCode>m/d/yyyy</c:formatCode>
                <c:ptCount val="10"/>
                <c:pt idx="0">
                  <c:v>44774</c:v>
                </c:pt>
                <c:pt idx="1">
                  <c:v>44775</c:v>
                </c:pt>
                <c:pt idx="2">
                  <c:v>44776</c:v>
                </c:pt>
                <c:pt idx="3">
                  <c:v>44777</c:v>
                </c:pt>
                <c:pt idx="4">
                  <c:v>44778</c:v>
                </c:pt>
                <c:pt idx="5">
                  <c:v>44781</c:v>
                </c:pt>
                <c:pt idx="6">
                  <c:v>44782</c:v>
                </c:pt>
                <c:pt idx="7">
                  <c:v>44783</c:v>
                </c:pt>
                <c:pt idx="8">
                  <c:v>44784</c:v>
                </c:pt>
                <c:pt idx="9">
                  <c:v>44785</c:v>
                </c:pt>
              </c:numCache>
            </c:numRef>
          </c:cat>
          <c:val>
            <c:numRef>
              <c:f>PriceGraph!$F$15:$F$24</c:f>
              <c:numCache>
                <c:formatCode>General</c:formatCode>
                <c:ptCount val="10"/>
                <c:pt idx="0">
                  <c:v>690.36217029128579</c:v>
                </c:pt>
                <c:pt idx="1">
                  <c:v>835.77343595726177</c:v>
                </c:pt>
                <c:pt idx="2">
                  <c:v>441.44425544513695</c:v>
                </c:pt>
                <c:pt idx="3">
                  <c:v>409.98346671338481</c:v>
                </c:pt>
                <c:pt idx="4">
                  <c:v>400.82470883202745</c:v>
                </c:pt>
                <c:pt idx="5">
                  <c:v>317.71773864911665</c:v>
                </c:pt>
                <c:pt idx="6">
                  <c:v>356.5870723013802</c:v>
                </c:pt>
                <c:pt idx="7">
                  <c:v>40.943395715763131</c:v>
                </c:pt>
                <c:pt idx="8">
                  <c:v>20.518664891818617</c:v>
                </c:pt>
                <c:pt idx="9">
                  <c:v>8.6595231183275723E-3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36000"/>
        <c:axId val="162755072"/>
      </c:lineChart>
      <c:dateAx>
        <c:axId val="163136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2755072"/>
        <c:crosses val="autoZero"/>
        <c:auto val="1"/>
        <c:lblOffset val="100"/>
        <c:baseTimeUnit val="days"/>
      </c:dateAx>
      <c:valAx>
        <c:axId val="1627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136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2</xdr:row>
      <xdr:rowOff>123825</xdr:rowOff>
    </xdr:from>
    <xdr:to>
      <xdr:col>7</xdr:col>
      <xdr:colOff>247649</xdr:colOff>
      <xdr:row>12</xdr:row>
      <xdr:rowOff>76200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K17"/>
  <sheetViews>
    <sheetView tabSelected="1" workbookViewId="0">
      <selection activeCell="D9" sqref="D9"/>
    </sheetView>
  </sheetViews>
  <sheetFormatPr baseColWidth="10" defaultRowHeight="15" x14ac:dyDescent="0.25"/>
  <cols>
    <col min="1" max="1" width="4.140625" customWidth="1"/>
    <col min="5" max="5" width="11.85546875" bestFit="1" customWidth="1"/>
  </cols>
  <sheetData>
    <row r="1" spans="2:11" ht="15.75" x14ac:dyDescent="0.25">
      <c r="B1" s="1" t="s">
        <v>18</v>
      </c>
    </row>
    <row r="3" spans="2:11" x14ac:dyDescent="0.25">
      <c r="B3" s="2" t="s">
        <v>0</v>
      </c>
    </row>
    <row r="5" spans="2:11" x14ac:dyDescent="0.25">
      <c r="B5" s="4">
        <v>100</v>
      </c>
      <c r="C5" s="8" t="s">
        <v>1</v>
      </c>
      <c r="D5" s="8"/>
      <c r="E5" s="8"/>
      <c r="F5" s="8"/>
      <c r="G5" s="8"/>
      <c r="H5" s="8"/>
      <c r="I5" s="8"/>
      <c r="J5" s="8"/>
      <c r="K5" s="8"/>
    </row>
    <row r="6" spans="2:11" x14ac:dyDescent="0.25">
      <c r="B6" s="4">
        <v>100</v>
      </c>
      <c r="C6" s="8" t="s">
        <v>2</v>
      </c>
      <c r="D6" s="8"/>
      <c r="E6" s="8"/>
      <c r="F6" s="8"/>
      <c r="G6" s="8"/>
      <c r="H6" s="8"/>
      <c r="I6" s="8"/>
      <c r="J6" s="8"/>
      <c r="K6" s="8"/>
    </row>
    <row r="7" spans="2:11" x14ac:dyDescent="0.25">
      <c r="B7" s="4">
        <v>0</v>
      </c>
      <c r="C7" s="8" t="s">
        <v>3</v>
      </c>
      <c r="D7" s="8"/>
      <c r="E7" s="8"/>
      <c r="F7" s="8"/>
      <c r="G7" s="8"/>
      <c r="H7" s="8"/>
      <c r="I7" s="8"/>
      <c r="J7" s="8"/>
      <c r="K7" s="8"/>
    </row>
    <row r="8" spans="2:11" x14ac:dyDescent="0.25">
      <c r="B8" s="4">
        <v>20</v>
      </c>
      <c r="C8" s="8" t="s">
        <v>4</v>
      </c>
      <c r="D8" s="8"/>
      <c r="E8" s="8"/>
      <c r="F8" s="8"/>
      <c r="G8" s="8"/>
      <c r="H8" s="8"/>
      <c r="I8" s="8"/>
      <c r="J8" s="8"/>
      <c r="K8" s="8"/>
    </row>
    <row r="9" spans="2:11" x14ac:dyDescent="0.25">
      <c r="B9" s="4">
        <v>45</v>
      </c>
      <c r="C9" s="8" t="s">
        <v>5</v>
      </c>
      <c r="D9" s="8"/>
      <c r="E9" s="8"/>
      <c r="F9" s="8"/>
      <c r="G9" s="8"/>
      <c r="H9" s="8"/>
      <c r="I9" s="8"/>
      <c r="J9" s="8"/>
      <c r="K9" s="8"/>
    </row>
    <row r="10" spans="2:11" x14ac:dyDescent="0.25">
      <c r="B10" s="4">
        <v>1</v>
      </c>
      <c r="C10" s="8" t="s">
        <v>6</v>
      </c>
      <c r="D10" s="8"/>
      <c r="E10" s="8"/>
      <c r="F10" s="8"/>
      <c r="G10" s="8"/>
      <c r="H10" s="8"/>
      <c r="I10" s="8"/>
      <c r="J10" s="8"/>
      <c r="K10" s="8"/>
    </row>
    <row r="11" spans="2:11" x14ac:dyDescent="0.25">
      <c r="B11" s="4"/>
    </row>
    <row r="12" spans="2:11" x14ac:dyDescent="0.25">
      <c r="B12" s="5">
        <f>PRECIOCALL(B5,B6,B7,B8,B9,B10)</f>
        <v>2.8009959430038691</v>
      </c>
      <c r="C12" s="9" t="s">
        <v>7</v>
      </c>
      <c r="D12" s="8"/>
      <c r="E12" s="8"/>
      <c r="F12" s="8"/>
      <c r="G12" s="8"/>
      <c r="H12" s="8"/>
      <c r="I12" s="8"/>
      <c r="J12" s="8"/>
      <c r="K12" s="8"/>
    </row>
    <row r="13" spans="2:11" x14ac:dyDescent="0.25">
      <c r="B13" s="5">
        <f>PRECIOPUT(B5,B6,B7,B8,B9,B10)</f>
        <v>2.8009959430038691</v>
      </c>
      <c r="C13" s="9" t="s">
        <v>8</v>
      </c>
      <c r="D13" s="8"/>
      <c r="E13" s="8"/>
      <c r="F13" s="8"/>
      <c r="G13" s="8"/>
      <c r="H13" s="8"/>
      <c r="I13" s="8"/>
      <c r="J13" s="8"/>
      <c r="K13" s="8"/>
    </row>
    <row r="17" spans="3:3" x14ac:dyDescent="0.25">
      <c r="C1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4:M24"/>
  <sheetViews>
    <sheetView topLeftCell="A3" workbookViewId="0">
      <selection activeCell="I16" sqref="I16"/>
    </sheetView>
  </sheetViews>
  <sheetFormatPr baseColWidth="10" defaultRowHeight="15" x14ac:dyDescent="0.25"/>
  <cols>
    <col min="5" max="5" width="16.7109375" customWidth="1"/>
    <col min="6" max="6" width="13.7109375" customWidth="1"/>
  </cols>
  <sheetData>
    <row r="14" spans="1:13" x14ac:dyDescent="0.25">
      <c r="A14" s="8" t="s">
        <v>9</v>
      </c>
      <c r="B14" s="8" t="s">
        <v>11</v>
      </c>
      <c r="C14" s="8" t="s">
        <v>12</v>
      </c>
      <c r="D14" s="8" t="s">
        <v>10</v>
      </c>
      <c r="E14" s="8" t="s">
        <v>15</v>
      </c>
      <c r="F14" s="8" t="s">
        <v>16</v>
      </c>
      <c r="I14" s="8" t="s">
        <v>17</v>
      </c>
      <c r="J14" s="8"/>
      <c r="K14" s="8"/>
      <c r="L14" s="8"/>
      <c r="M14" s="8"/>
    </row>
    <row r="15" spans="1:13" x14ac:dyDescent="0.25">
      <c r="A15" s="6">
        <v>44774</v>
      </c>
      <c r="B15" s="7">
        <v>410.76998900000001</v>
      </c>
      <c r="C15" s="7">
        <v>22.84</v>
      </c>
      <c r="D15">
        <f t="shared" ref="D15:D24" si="0">$I$17-A15</f>
        <v>12</v>
      </c>
      <c r="E15">
        <f t="shared" ref="E15:E24" si="1">100*PRECIOCALL(B15,$I$16,$I$15,C15,D15,$I$18)</f>
        <v>667.36107029128675</v>
      </c>
      <c r="F15">
        <f t="shared" ref="F15:F24" si="2">100*PRECIOPUT(B15,$I$16,$I$15,C15,D15,$I$18)</f>
        <v>690.36217029128579</v>
      </c>
      <c r="I15" s="4">
        <v>0</v>
      </c>
      <c r="J15" t="s">
        <v>3</v>
      </c>
    </row>
    <row r="16" spans="1:13" x14ac:dyDescent="0.25">
      <c r="A16" s="6">
        <v>44775</v>
      </c>
      <c r="B16" s="7">
        <v>408.05999800000001</v>
      </c>
      <c r="C16" s="7">
        <v>23.93</v>
      </c>
      <c r="D16">
        <f t="shared" si="0"/>
        <v>11</v>
      </c>
      <c r="E16">
        <f t="shared" si="1"/>
        <v>541.7732359572625</v>
      </c>
      <c r="F16">
        <f t="shared" si="2"/>
        <v>835.77343595726177</v>
      </c>
      <c r="I16">
        <v>411</v>
      </c>
      <c r="J16" t="s">
        <v>14</v>
      </c>
    </row>
    <row r="17" spans="1:10" x14ac:dyDescent="0.25">
      <c r="A17" s="6">
        <v>44776</v>
      </c>
      <c r="B17" s="7">
        <v>414.45001200000002</v>
      </c>
      <c r="C17" s="7">
        <v>21.950001</v>
      </c>
      <c r="D17">
        <f t="shared" si="0"/>
        <v>10</v>
      </c>
      <c r="E17">
        <f t="shared" si="1"/>
        <v>786.44545544513846</v>
      </c>
      <c r="F17">
        <f t="shared" si="2"/>
        <v>441.44425544513695</v>
      </c>
      <c r="I17" s="6">
        <v>44786</v>
      </c>
      <c r="J17" t="s">
        <v>13</v>
      </c>
    </row>
    <row r="18" spans="1:10" x14ac:dyDescent="0.25">
      <c r="A18" s="6">
        <v>44777</v>
      </c>
      <c r="B18" s="7">
        <v>414.17001299999998</v>
      </c>
      <c r="C18" s="7">
        <v>21.440000999999999</v>
      </c>
      <c r="D18">
        <f t="shared" si="0"/>
        <v>9</v>
      </c>
      <c r="E18">
        <f t="shared" si="1"/>
        <v>726.98476671338312</v>
      </c>
      <c r="F18">
        <f t="shared" si="2"/>
        <v>409.98346671338481</v>
      </c>
      <c r="I18" s="4">
        <v>1</v>
      </c>
      <c r="J18" t="s">
        <v>19</v>
      </c>
    </row>
    <row r="19" spans="1:10" x14ac:dyDescent="0.25">
      <c r="A19" s="6">
        <v>44778</v>
      </c>
      <c r="B19" s="7">
        <v>413.47000100000002</v>
      </c>
      <c r="C19" s="7">
        <v>21.15</v>
      </c>
      <c r="D19">
        <f t="shared" si="0"/>
        <v>8</v>
      </c>
      <c r="E19">
        <f t="shared" si="1"/>
        <v>647.82480883202993</v>
      </c>
      <c r="F19">
        <f t="shared" si="2"/>
        <v>400.82470883202745</v>
      </c>
    </row>
    <row r="20" spans="1:10" x14ac:dyDescent="0.25">
      <c r="A20" s="6">
        <v>44781</v>
      </c>
      <c r="B20" s="7">
        <v>412.98998999999998</v>
      </c>
      <c r="C20" s="7">
        <v>21.290001</v>
      </c>
      <c r="D20">
        <f t="shared" si="0"/>
        <v>5</v>
      </c>
      <c r="E20">
        <f t="shared" si="1"/>
        <v>516.7167386491144</v>
      </c>
      <c r="F20">
        <f t="shared" si="2"/>
        <v>317.71773864911665</v>
      </c>
    </row>
    <row r="21" spans="1:10" x14ac:dyDescent="0.25">
      <c r="A21" s="6">
        <v>44782</v>
      </c>
      <c r="B21" s="7">
        <v>411.35000600000001</v>
      </c>
      <c r="C21" s="7">
        <v>21.77</v>
      </c>
      <c r="D21">
        <f t="shared" si="0"/>
        <v>4</v>
      </c>
      <c r="E21">
        <f t="shared" si="1"/>
        <v>391.58767230138096</v>
      </c>
      <c r="F21">
        <f t="shared" si="2"/>
        <v>356.5870723013802</v>
      </c>
    </row>
    <row r="22" spans="1:10" x14ac:dyDescent="0.25">
      <c r="A22" s="6">
        <v>44783</v>
      </c>
      <c r="B22" s="7">
        <v>419.98998999999998</v>
      </c>
      <c r="C22" s="7">
        <v>19.739999999999998</v>
      </c>
      <c r="D22">
        <f t="shared" si="0"/>
        <v>3</v>
      </c>
      <c r="E22">
        <f t="shared" si="1"/>
        <v>939.94239571576372</v>
      </c>
      <c r="F22">
        <f t="shared" si="2"/>
        <v>40.943395715763131</v>
      </c>
    </row>
    <row r="23" spans="1:10" x14ac:dyDescent="0.25">
      <c r="A23" s="6">
        <v>44784</v>
      </c>
      <c r="B23" s="7">
        <v>419.98998999999998</v>
      </c>
      <c r="C23" s="7">
        <v>20.200001</v>
      </c>
      <c r="D23">
        <f t="shared" si="0"/>
        <v>2</v>
      </c>
      <c r="E23">
        <f t="shared" si="1"/>
        <v>919.51766489182205</v>
      </c>
      <c r="F23">
        <f t="shared" si="2"/>
        <v>20.518664891818617</v>
      </c>
    </row>
    <row r="24" spans="1:10" x14ac:dyDescent="0.25">
      <c r="A24" s="6">
        <v>44785</v>
      </c>
      <c r="B24" s="7">
        <v>427.10000600000001</v>
      </c>
      <c r="C24" s="7">
        <v>19.530000999999999</v>
      </c>
      <c r="D24">
        <f t="shared" si="0"/>
        <v>1</v>
      </c>
      <c r="E24">
        <f t="shared" si="1"/>
        <v>1610.009259523116</v>
      </c>
      <c r="F24">
        <f t="shared" si="2"/>
        <v>8.6595231183275723E-3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Pricer</vt:lpstr>
      <vt:lpstr>PriceGraph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</dc:creator>
  <cp:lastModifiedBy>ernesto</cp:lastModifiedBy>
  <dcterms:created xsi:type="dcterms:W3CDTF">2021-05-04T07:23:26Z</dcterms:created>
  <dcterms:modified xsi:type="dcterms:W3CDTF">2022-08-25T10:17:33Z</dcterms:modified>
</cp:coreProperties>
</file>